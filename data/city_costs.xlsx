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40f60224b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 Costs" sheetId="1" r:id="Rf83d7354432e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9">
    <x:font>
      <x:sz val="11"/>
      <x:name val="Carlito"/>
    </x:font>
    <x:font>
      <x:b/>
      <x:sz val="18"/>
      <x:color rgb="FFFFFFFF"/>
      <x:name val="Arial"/>
    </x:font>
    <x:font>
      <x:i/>
      <x:sz val="10"/>
      <x:color rgb="FF404040"/>
      <x:name val="Arial"/>
    </x:font>
    <x:font>
      <x:b/>
      <x:sz val="12"/>
      <x:color rgb="FF17365D"/>
      <x:name val="Arial"/>
    </x:font>
    <x:font>
      <x:sz val="10"/>
      <x:name val="Arial"/>
    </x:font>
    <x:font>
      <x:sz val="9"/>
      <x:name val="Arial"/>
    </x:font>
    <x:font>
      <x:sz val="10"/>
      <x:color rgb="FF404040"/>
      <x:name val="Arial"/>
    </x:font>
    <x:font>
      <x:i/>
      <x:sz val="9"/>
      <x:color rgb="FF595959"/>
      <x:name val="Arial"/>
    </x:font>
    <x:font>
      <x:sz val="9"/>
      <x:color rgb="FF0563C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3888c02a84076" /><Relationship Type="http://schemas.openxmlformats.org/officeDocument/2006/relationships/theme" Target="/xl/theme/theme1.xml" Id="R424b2c2741944278" /><Relationship Type="http://schemas.openxmlformats.org/officeDocument/2006/relationships/sharedStrings" Target="/xl/sharedStrings.xml" Id="Rabd5d59795664f85" /><Relationship Type="http://schemas.openxmlformats.org/officeDocument/2006/relationships/worksheet" Target="/xl/worksheets/sheet1.xml" Id="Rf83d7354432e456a" /></Relationships>
</file>

<file path=xl/tables/table1.xml><?xml version="1.0" encoding="utf-8"?>
<x:table xmlns:x="http://schemas.openxmlformats.org/spreadsheetml/2006/main" id="1" name="CityCostTable" displayName="CityCostTable" ref="A5:K10" headerRowCount="1" totalsRowCount="0" totalsRowShown="0">
  <x:tableColumns count="11">
    <x:tableColumn id="1" name="Metro"/>
    <x:tableColumn id="2" name="Hotel / night"/>
    <x:tableColumn id="3" name="Inexpensive meal"/>
    <x:tableColumn id="4" name="Mid-range meal for 2"/>
    <x:tableColumn id="5" name="Parking / day"/>
    <x:tableColumn id="6" name="Parking / hour"/>
    <x:tableColumn id="7" name="Transit one-way"/>
    <x:tableColumn id="8" name="Gas / liter"/>
    <x:tableColumn id="9" name="Gas / gallon"/>
    <x:tableColumn id="10" name="Budget overnight for 2"/>
    <x:tableColumn id="11" name="Mid-range overnight for 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CostSources" displayName="CityCostSources" ref="A16:D23" headerRowCount="1" totalsRowCount="0" totalsRowShown="0">
  <x:tableColumns count="4">
    <x:tableColumn id="1" name="Source"/>
    <x:tableColumn id="2" name="Metrics used"/>
    <x:tableColumn id="3" name="Vintage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10671ea9242ef" /><Relationship Type="http://schemas.openxmlformats.org/officeDocument/2006/relationships/table" Target="/xl/tables/table2.xml" Id="R5bcf53809ead456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5" hidden="0" customWidth="1"/>
    <x:col min="4" max="4" width="58" hidden="0" customWidth="1"/>
    <x:col min="5" max="5" width="15" hidden="0" customWidth="1"/>
    <x:col min="6" max="6" width="15" hidden="0" customWidth="1"/>
    <x:col min="7" max="7" width="17" hidden="0" customWidth="1"/>
    <x:col min="8" max="8" width="14" hidden="0" customWidth="1"/>
    <x:col min="9" max="9" width="15" hidden="0" customWidth="1"/>
    <x:col min="10" max="10" width="23" hidden="0" customWidth="1"/>
    <x:col min="11" max="11" width="26" hidden="0" customWidth="1"/>
  </x:cols>
  <x:sheetData>
    <x:row r="1" ht="30" customHeight="1">
      <x:c r="A1" s="4" t="str">
        <x:v>Five-Metro Event Trip Cost Benchmarks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7" t="str">
        <x:v>Central-city planning proxies for New York, Los Angeles, Chicago, Houston, and Phoenix — ticket prices excluded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Cost comparison (USD)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</x:row>
    <x:row r="5" ht="34" customHeight="1">
      <x:c r="A5" s="26" t="str">
        <x:v>Metro</x:v>
      </x:c>
      <x:c r="B5" s="27" t="str">
        <x:v>Hotel / night</x:v>
      </x:c>
      <x:c r="C5" s="27" t="str">
        <x:v>Inexpensive meal</x:v>
      </x:c>
      <x:c r="D5" s="27" t="str">
        <x:v>Mid-range meal for 2</x:v>
      </x:c>
      <x:c r="E5" s="27" t="str">
        <x:v>Parking / day</x:v>
      </x:c>
      <x:c r="F5" s="27" t="str">
        <x:v>Parking / hour</x:v>
      </x:c>
      <x:c r="G5" s="27" t="str">
        <x:v>Transit one-way</x:v>
      </x:c>
      <x:c r="H5" s="27" t="str">
        <x:v>Gas / liter</x:v>
      </x:c>
      <x:c r="I5" s="27" t="str">
        <x:v>Gas / gallon</x:v>
      </x:c>
      <x:c r="J5" s="27" t="str">
        <x:v>Budget overnight for 2</x:v>
      </x:c>
      <x:c r="K5" s="27" t="str">
        <x:v>Mid-range overnight for 2</x:v>
      </x:c>
    </x:row>
    <x:row r="6">
      <x:c r="A6" s="25" t="str">
        <x:v>New York metro</x:v>
      </x:c>
      <x:c r="B6" s="24" t="n">
        <x:v>336</x:v>
      </x:c>
      <x:c r="C6" s="24" t="n">
        <x:v>25</x:v>
      </x:c>
      <x:c r="D6" s="24" t="n">
        <x:v>150</x:v>
      </x:c>
      <x:c r="E6" s="24" t="n">
        <x:v>65</x:v>
      </x:c>
      <x:c r="F6" s="24" t="n">
        <x:v>25</x:v>
      </x:c>
      <x:c r="G6" s="24" t="n">
        <x:v>3</x:v>
      </x:c>
      <x:c r="H6" s="24" t="n">
        <x:v>1.05</x:v>
      </x:c>
      <x:c r="I6" s="24" t="n">
        <x:f>H6*3.78541</x:f>
        <x:v>3.9746805000000003</x:v>
      </x:c>
      <x:c r="J6" s="24" t="n">
        <x:f>B6+(C6*2)+E6</x:f>
        <x:v>451</x:v>
      </x:c>
      <x:c r="K6" s="24" t="n">
        <x:f>B6+D6+E6</x:f>
        <x:v>551</x:v>
      </x:c>
    </x:row>
    <x:row r="7">
      <x:c r="A7" s="25" t="str">
        <x:v>Los Angeles metro</x:v>
      </x:c>
      <x:c r="B7" s="24" t="n">
        <x:v>169</x:v>
      </x:c>
      <x:c r="C7" s="24" t="n">
        <x:v>26.5</x:v>
      </x:c>
      <x:c r="D7" s="24" t="n">
        <x:v>120</x:v>
      </x:c>
      <x:c r="E7" s="24" t="n">
        <x:v>40</x:v>
      </x:c>
      <x:c r="F7" s="24" t="n">
        <x:v>15</x:v>
      </x:c>
      <x:c r="G7" s="24" t="n">
        <x:v>1.75</x:v>
      </x:c>
      <x:c r="H7" s="24" t="n">
        <x:v>1.59</x:v>
      </x:c>
      <x:c r="I7" s="24" t="n">
        <x:f>H7*3.78541</x:f>
        <x:v>6.018801900000001</x:v>
      </x:c>
      <x:c r="J7" s="24" t="n">
        <x:f>B7+(C7*2)+E7</x:f>
        <x:v>262</x:v>
      </x:c>
      <x:c r="K7" s="24" t="n">
        <x:f>B7+D7+E7</x:f>
        <x:v>329</x:v>
      </x:c>
    </x:row>
    <x:row r="8">
      <x:c r="A8" s="25" t="str">
        <x:v>Chicago metro</x:v>
      </x:c>
      <x:c r="B8" s="24" t="n">
        <x:v>233</x:v>
      </x:c>
      <x:c r="C8" s="24" t="n">
        <x:v>20.5</x:v>
      </x:c>
      <x:c r="D8" s="24" t="n">
        <x:v>90</x:v>
      </x:c>
      <x:c r="E8" s="24" t="n">
        <x:v>45</x:v>
      </x:c>
      <x:c r="F8" s="24" t="n">
        <x:v>18</x:v>
      </x:c>
      <x:c r="G8" s="24" t="n">
        <x:v>2.5</x:v>
      </x:c>
      <x:c r="H8" s="24" t="n">
        <x:v>1.23</x:v>
      </x:c>
      <x:c r="I8" s="24" t="n">
        <x:f>H8*3.78541</x:f>
        <x:v>4.6560543</x:v>
      </x:c>
      <x:c r="J8" s="24" t="n">
        <x:f>B8+(C8*2)+E8</x:f>
        <x:v>319</x:v>
      </x:c>
      <x:c r="K8" s="24" t="n">
        <x:f>B8+D8+E8</x:f>
        <x:v>368</x:v>
      </x:c>
    </x:row>
    <x:row r="9">
      <x:c r="A9" s="25" t="str">
        <x:v>Houston metro</x:v>
      </x:c>
      <x:c r="B9" s="24" t="n">
        <x:v>136</x:v>
      </x:c>
      <x:c r="C9" s="24" t="n">
        <x:v>20.38</x:v>
      </x:c>
      <x:c r="D9" s="24" t="n">
        <x:v>75</x:v>
      </x:c>
      <x:c r="E9" s="24" t="n">
        <x:v>25</x:v>
      </x:c>
      <x:c r="F9" s="24" t="n">
        <x:v>10</x:v>
      </x:c>
      <x:c r="G9" s="24" t="n">
        <x:v>1.25</x:v>
      </x:c>
      <x:c r="H9" s="24" t="n">
        <x:v>0.93</x:v>
      </x:c>
      <x:c r="I9" s="24" t="n">
        <x:f>H9*3.78541</x:f>
        <x:v>3.5204313000000003</x:v>
      </x:c>
      <x:c r="J9" s="24" t="n">
        <x:f>B9+(C9*2)+E9</x:f>
        <x:v>201.76</x:v>
      </x:c>
      <x:c r="K9" s="24" t="n">
        <x:f>B9+D9+E9</x:f>
        <x:v>236</x:v>
      </x:c>
    </x:row>
    <x:row r="10">
      <x:c r="A10" s="25" t="str">
        <x:v>Phoenix metro</x:v>
      </x:c>
      <x:c r="B10" s="24" t="n">
        <x:v>154</x:v>
      </x:c>
      <x:c r="C10" s="24" t="n">
        <x:v>20</x:v>
      </x:c>
      <x:c r="D10" s="24" t="n">
        <x:v>85</x:v>
      </x:c>
      <x:c r="E10" s="24" t="n">
        <x:v>20</x:v>
      </x:c>
      <x:c r="F10" s="24" t="n">
        <x:v>8</x:v>
      </x:c>
      <x:c r="G10" s="24" t="n">
        <x:v>2</x:v>
      </x:c>
      <x:c r="H10" s="24" t="n">
        <x:v>1.2</x:v>
      </x:c>
      <x:c r="I10" s="24" t="n">
        <x:f>H10*3.78541</x:f>
        <x:v>4.542492</x:v>
      </x:c>
      <x:c r="J10" s="24" t="n">
        <x:f>B10+(C10*2)+E10</x:f>
        <x:v>214</x:v>
      </x:c>
      <x:c r="K10" s="24" t="n">
        <x:f>B10+D10+E10</x:f>
        <x:v>259</x:v>
      </x:c>
    </x:row>
    <x:row r="12">
      <x:c r="A12" s="10" t="str">
        <x:v>How to read the estimates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</x:row>
    <x:row r="13" ht="42" customHeight="1">
      <x:c r="A13" s="17" t="str">
        <x:v>Budget overnight for 2 = hotel + two inexpensive meals + one day of parking. Mid-range overnight for 2 = hotel + one mid-range meal for two + one day of parking. Tickets, taxes, tips, airfare, and fuel quantity are not included.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5">
      <x:c r="A15" s="10" t="str">
        <x:v>Sources and definitions</x:v>
      </x:c>
      <x:c r="B15" s="10"/>
      <x:c r="C15" s="10"/>
      <x:c r="D15" s="10"/>
    </x:row>
    <x:row r="16">
      <x:c r="A16" s="30" t="str">
        <x:v>Source</x:v>
      </x:c>
      <x:c r="B16" s="30" t="str">
        <x:v>Metrics used</x:v>
      </x:c>
      <x:c r="C16" s="30" t="str">
        <x:v>Vintage</x:v>
      </x:c>
      <x:c r="D16" s="30" t="str">
        <x:v>URL</x:v>
      </x:c>
    </x:row>
    <x:row r="17">
      <x:c r="A17" s="30" t="str">
        <x:v>Engine</x:v>
      </x:c>
      <x:c r="B17" s="30" t="str">
        <x:v>Average published hotel rate by city</x:v>
      </x:c>
      <x:c r="C17" s="30" t="str">
        <x:v>May 2024–Apr 2026 observations</x:v>
      </x:c>
      <x:c r="D17" s="31" t="str">
        <x:v>https://engine.com/data/hotel-prices</x:v>
      </x:c>
    </x:row>
    <x:row r="18">
      <x:c r="A18" s="30" t="str">
        <x:v>ParkGraph</x:v>
      </x:c>
      <x:c r="B18" s="30" t="str">
        <x:v>Citywide hourly and daily parking averages</x:v>
      </x:c>
      <x:c r="C18" s="30" t="str">
        <x:v>Accessed Oct 23, 2026</x:v>
      </x:c>
      <x:c r="D18" s="31" t="str">
        <x:v>https://www.parkgraph.com/tools/parking-rates</x:v>
      </x:c>
    </x:row>
    <x:row r="19">
      <x:c r="A19" s="30" t="str">
        <x:v>Numbeo — New York</x:v>
      </x:c>
      <x:c r="B19" s="30" t="str">
        <x:v>Meals, transit, gasoline</x:v>
      </x:c>
      <x:c r="C19" s="30" t="str">
        <x:v>June 2026 snapshot</x:v>
      </x:c>
      <x:c r="D19" s="31" t="str">
        <x:v>https://www.numbeo.com/cost-of-living/in/New-York</x:v>
      </x:c>
    </x:row>
    <x:row r="20">
      <x:c r="A20" s="30" t="str">
        <x:v>Numbeo — Los Angeles</x:v>
      </x:c>
      <x:c r="B20" s="30" t="str">
        <x:v>Meals, transit, gasoline</x:v>
      </x:c>
      <x:c r="C20" s="30" t="str">
        <x:v>Oct 2026 snapshot</x:v>
      </x:c>
      <x:c r="D20" s="31" t="str">
        <x:v>https://www.numbeo.com/cost-of-living/in/Los-Angeles</x:v>
      </x:c>
    </x:row>
    <x:row r="21">
      <x:c r="A21" s="30" t="str">
        <x:v>Numbeo — Chicago</x:v>
      </x:c>
      <x:c r="B21" s="30" t="str">
        <x:v>Meals, transit, gasoline</x:v>
      </x:c>
      <x:c r="C21" s="30" t="str">
        <x:v>Oct 2026 snapshot</x:v>
      </x:c>
      <x:c r="D21" s="31" t="str">
        <x:v>https://www.numbeo.com/cost-of-living/in/Chicago</x:v>
      </x:c>
    </x:row>
    <x:row r="22">
      <x:c r="A22" s="30" t="str">
        <x:v>Numbeo — Houston</x:v>
      </x:c>
      <x:c r="B22" s="30" t="str">
        <x:v>Meals, transit, gasoline</x:v>
      </x:c>
      <x:c r="C22" s="30" t="str">
        <x:v>Oct 2026 snapshot</x:v>
      </x:c>
      <x:c r="D22" s="31" t="str">
        <x:v>https://www.numbeo.com/cost-of-living/in/Houston</x:v>
      </x:c>
    </x:row>
    <x:row r="23">
      <x:c r="A23" s="30" t="str">
        <x:v>Numbeo — Phoenix</x:v>
      </x:c>
      <x:c r="B23" s="30" t="str">
        <x:v>Meals, transit, gasoline</x:v>
      </x:c>
      <x:c r="C23" s="30" t="str">
        <x:v>Oct 2026 snapshot</x:v>
      </x:c>
      <x:c r="D23" s="31" t="str">
        <x:v>https://www.numbeo.com/cost-of-living/in/Phoenix</x:v>
      </x:c>
    </x:row>
    <x:row r="25" ht="48" customHeight="1">
      <x:c r="A25" s="21" t="str">
        <x:v>Method note: These are central-city proxies for metropolitan event attendance. Event-night hotels and venue-adjacent parking may be substantially higher. Engine's hotel figure is the city average of the cheapest publicly available rate observed at search time; ParkGraph's figures are citywide averages.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</x:sheetData>
  <x:mergeCells>
    <x:mergeCell ref="A1:K1"/>
    <x:mergeCell ref="A2:K2"/>
    <x:mergeCell ref="A4:K4"/>
    <x:mergeCell ref="A12:K12"/>
    <x:mergeCell ref="A13:K13"/>
    <x:mergeCell ref="A15:D15"/>
    <x:mergeCell ref="A25:K25"/>
  </x:mergeCells>
  <x:pageMargins left="0.7" right="0.7" top="0.75" bottom="0.75" header="0.3" footer="0.3"/>
  <x:tableParts count="2">
    <x:tablePart xmlns:r="http://schemas.openxmlformats.org/officeDocument/2006/relationships" r:id="R90d10671ea9242ef"/>
    <x:tablePart xmlns:r="http://schemas.openxmlformats.org/officeDocument/2006/relationships" r:id="R5bcf53809ead4562"/>
  </x:tableParts>
</x:worksheet>
</file>